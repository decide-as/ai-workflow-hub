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anbraathen/Desktop/"/>
    </mc:Choice>
  </mc:AlternateContent>
  <xr:revisionPtr revIDLastSave="0" documentId="13_ncr:2001_{010BC2DB-9B34-A646-80F3-78E523F4D0A6}" xr6:coauthVersionLast="47" xr6:coauthVersionMax="47" xr10:uidLastSave="{00000000-0000-0000-0000-000000000000}"/>
  <bookViews>
    <workbookView xWindow="580" yWindow="700" windowWidth="34040" windowHeight="18760" xr2:uid="{7A752D9C-6A11-9F41-8B7C-10FDE0544D68}"/>
  </bookViews>
  <sheets>
    <sheet name="Sheet1" sheetId="1" r:id="rId1"/>
    <sheet name="Sheet2" sheetId="2" r:id="rId2"/>
  </sheets>
  <definedNames>
    <definedName name="Kategorier">Sheet2!$A$1:$A$7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F90" i="1"/>
  <c r="D90" i="1" s="1"/>
  <c r="E90" i="1"/>
  <c r="C90" i="1" s="1"/>
  <c r="F89" i="1"/>
  <c r="D89" i="1" s="1"/>
  <c r="E89" i="1"/>
  <c r="C89" i="1" s="1"/>
  <c r="F88" i="1"/>
  <c r="D88" i="1" s="1"/>
  <c r="E88" i="1"/>
  <c r="C88" i="1" s="1"/>
  <c r="F87" i="1"/>
  <c r="D87" i="1" s="1"/>
  <c r="E87" i="1"/>
  <c r="C87" i="1" s="1"/>
  <c r="F86" i="1"/>
  <c r="D86" i="1" s="1"/>
  <c r="E86" i="1"/>
  <c r="C86" i="1" s="1"/>
  <c r="F85" i="1"/>
  <c r="D85" i="1" s="1"/>
  <c r="E85" i="1"/>
  <c r="C85" i="1" s="1"/>
  <c r="F84" i="1"/>
  <c r="D84" i="1" s="1"/>
  <c r="E84" i="1"/>
  <c r="C84" i="1" s="1"/>
  <c r="G89" i="1" l="1"/>
  <c r="G85" i="1"/>
  <c r="D91" i="1"/>
  <c r="G87" i="1"/>
  <c r="C91" i="1"/>
  <c r="E91" i="1"/>
  <c r="F91" i="1"/>
  <c r="G90" i="1"/>
  <c r="G88" i="1"/>
  <c r="G86" i="1"/>
  <c r="G84" i="1"/>
  <c r="I77" i="1"/>
  <c r="I76" i="1"/>
  <c r="I75" i="1"/>
  <c r="I74" i="1"/>
  <c r="I73" i="1"/>
  <c r="I72" i="1"/>
  <c r="I71" i="1"/>
  <c r="J67" i="1"/>
  <c r="J66" i="1"/>
  <c r="J65" i="1"/>
  <c r="J64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63" i="1"/>
  <c r="E58" i="1"/>
  <c r="E57" i="1"/>
  <c r="E56" i="1"/>
  <c r="E54" i="1"/>
  <c r="E53" i="1"/>
  <c r="E52" i="1"/>
  <c r="E50" i="1"/>
  <c r="E49" i="1"/>
  <c r="E48" i="1"/>
  <c r="J77" i="1"/>
  <c r="J76" i="1"/>
  <c r="J75" i="1"/>
  <c r="J74" i="1"/>
  <c r="J73" i="1"/>
  <c r="J72" i="1"/>
  <c r="J71" i="1"/>
  <c r="G91" i="1" l="1"/>
  <c r="I68" i="1"/>
  <c r="I78" i="1" s="1"/>
  <c r="I79" i="1" s="1"/>
  <c r="J68" i="1"/>
  <c r="J78" i="1" s="1"/>
  <c r="J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tc={EED564C0-6C66-B443-9C40-C323E4136907}</author>
    <author>tc={C2C343A4-EB28-5E44-80D1-629C05DE3EE9}</author>
    <author>tc={FF078FEA-645E-A64A-B512-289C1C510559}</author>
    <author>Christian Braathen</author>
    <author>tc={7C3264C3-096F-C34C-A0A7-3E6B1BA4A995}</author>
    <author>tc={8116723A-7C89-C740-819B-31A8DA36EC64}</author>
    <author>tc={01642E53-B5CC-0342-94A7-CB2336FC2774}</author>
    <author>tc={D14C9EAA-EB3B-B14F-92F6-EC0F61CAB8A8}</author>
    <author>tc={A1450B41-72DE-7B42-A989-A32E5D18C6F6}</author>
  </authors>
  <commentList>
    <comment ref="A9" authorId="0" shapeId="0" xr:uid="{EED564C0-6C66-B443-9C40-C323E41369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 Et døgn varer i 24 timer fra reisens starttidspunkt.
Reiser som varer mer enn 
- 6 timer inn i nytt døgn gir rett til full døgndiettsats etter samme sats som siste døgn.
- Reiser som varer under 6 timer inn i nytt døgn gis det ingen godtgjørelse for.
</t>
      </text>
    </comment>
    <comment ref="A10" authorId="1" shapeId="0" xr:uid="{C2C343A4-EB28-5E44-80D1-629C05DE3E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- Et døgn varer i 24 timer fra reisens starttidspunkt.
Reiser som varer mer enn 
- 6 timer inn i nytt døgn gir rett til full døgndiettsats etter samme sats som siste døgn.
- Reiser som varer under 6 timer inn i nytt døgn gis det ingen godtgjørelse for.
</t>
      </text>
    </comment>
    <comment ref="A47" authorId="2" shapeId="0" xr:uid="{FF078FEA-645E-A64A-B512-289C1C5105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at reisen skal anses som en reise med overnatting må den ansatte tilbringe mer enn fem timer av natten utenfor hjemmet. I denne sammenheng anses natt som tiden mellom klokken 22.00 og 06.00.
Reply:
    - Et døgn varer i 24 timer fra reisens starttidspunkt.
Reiser som varer mer enn 
- 6 timer inn i nytt døgn gir rett til full døgndiettsats etter samme sats som siste døgn.
- Reiser som varer under 6 timer inn i nytt døgn gis det ingen godtgjørelse for.
</t>
      </text>
    </comment>
    <comment ref="E47" authorId="3" shapeId="0" xr:uid="{3602FF83-9A6D-6740-A7D5-1F583D46B324}">
      <text>
        <r>
          <rPr>
            <b/>
            <sz val="10"/>
            <color rgb="FF000000"/>
            <rFont val="Tahoma"/>
            <family val="2"/>
          </rPr>
          <t>Christian Braathen:</t>
        </r>
        <r>
          <rPr>
            <sz val="10"/>
            <color rgb="FF000000"/>
            <rFont val="Tahoma"/>
            <family val="2"/>
          </rPr>
          <t xml:space="preserve">
2026 trekkfri diettgodtgjørelse – døgndiett ved overnatting på hotell: 693 kr (Skattedirektoratet)</t>
        </r>
      </text>
    </comment>
    <comment ref="A51" authorId="4" shapeId="0" xr:uid="{7C3264C3-096F-C34C-A0A7-3E6B1BA4A9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at reisen skal anses som en reise med overnatting må den ansatte tilbringe mer enn fem timer av natten utenfor hjemmet. I denne sammenheng anses natt som tiden mellom klokken 22.00 og 06.00.
Reply:
    - Et døgn varer i 24 timer fra reisens starttidspunkt.
Reiser som varer mer enn 
- 6 timer inn i nytt døgn gir rett til full døgndiettsats etter samme sats som siste døgn.
- Reiser som varer under 6 timer inn i nytt døgn gis det ingen godtgjørelse for.
</t>
      </text>
    </comment>
    <comment ref="E51" authorId="3" shapeId="0" xr:uid="{98F46F33-EA75-054D-A082-82B97B178DB5}">
      <text>
        <r>
          <rPr>
            <b/>
            <sz val="10"/>
            <color rgb="FF000000"/>
            <rFont val="Tahoma"/>
            <family val="2"/>
          </rPr>
          <t>Christian Braathen:</t>
        </r>
        <r>
          <rPr>
            <sz val="10"/>
            <color rgb="FF000000"/>
            <rFont val="Tahoma"/>
            <family val="2"/>
          </rPr>
          <t xml:space="preserve">
2026 trekkfri diettgodtgjørelse – døgndiett ved annen overnatting uten kokemuligheter: 400 kr (Skattedirektoratet)</t>
        </r>
      </text>
    </comment>
    <comment ref="A55" authorId="5" shapeId="0" xr:uid="{8116723A-7C89-C740-819B-31A8DA36EC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at reisen skal anses som en reise med overnatting må den ansatte tilbringe mer enn fem timer av natten utenfor hjemmet. I denne sammenheng anses natt som tiden mellom klokken 22.00 og 06.00.
Reply:
    - Et døgn varer i 24 timer fra reisens starttidspunkt.
Reiser som varer mer enn 
- 6 timer inn i nytt døgn gir rett til full døgndiettsats etter samme sats som siste døgn.
- Reiser som varer under 6 timer inn i nytt døgn gis det ingen godtgjørelse for.
</t>
      </text>
    </comment>
    <comment ref="E55" authorId="3" shapeId="0" xr:uid="{38116000-2A37-DA4A-96E0-5D3FF477EB6E}">
      <text>
        <r>
          <rPr>
            <b/>
            <sz val="10"/>
            <color rgb="FF000000"/>
            <rFont val="Tahoma"/>
            <family val="2"/>
          </rPr>
          <t>Christian Braathen:</t>
        </r>
        <r>
          <rPr>
            <sz val="10"/>
            <color rgb="FF000000"/>
            <rFont val="Tahoma"/>
            <family val="2"/>
          </rPr>
          <t xml:space="preserve">
2026 trekkfri diettgodtgjørelse – døgndiett ved annen overnatting med kokemuligheter: 107 kr (Skattedirektoratet)</t>
        </r>
      </text>
    </comment>
    <comment ref="A59" authorId="6" shapeId="0" xr:uid="{01642E53-B5CC-0342-94A7-CB2336FC2774}">
      <text>
        <t>[Threaded comment]
Your version of Excel allows you to read this threaded comment; however, any edits to it will get removed if the file is opened in a newer version of Excel. Learn more: https://go.microsoft.com/fwlink/?linkid=870924
Comment:
    På reiser uten overnatting kan det trekkfritt utbetales dagdiett etter Skattedirektoratets satser, så lenge oppdragsstedet er mer enn 15 km fra reisens utgangspunkt, og reisen varer mer enn 6 timer. Det er imidlertid en forutsetning at arbeidstakeren har merkostnader til kost i forbindelse med reisen.</t>
      </text>
    </comment>
    <comment ref="A61" authorId="7" shapeId="0" xr:uid="{D14C9EAA-EB3B-B14F-92F6-EC0F61CAB8A8}">
      <text>
        <t>[Threaded comment]
Your version of Excel allows you to read this threaded comment; however, any edits to it will get removed if the file is opened in a newer version of Excel. Learn more: https://go.microsoft.com/fwlink/?linkid=870924
Comment:
    På reiser uten overnatting kan det trekkfritt utbetales dagdiett etter Skattedirektoratets satser, så lenge oppdragsstedet er mer enn 15 km fra reisens utgangspunkt, og reisen varer mer enn 6 timer. Det er imidlertid en forutsetning at arbeidstakeren har merkostnader til kost i forbindelse med reisen.</t>
      </text>
    </comment>
    <comment ref="A63" authorId="8" shapeId="0" xr:uid="{A1450B41-72DE-7B42-A989-A32E5D18C6F6}">
      <text>
        <t>[Threaded comment]
Your version of Excel allows you to read this threaded comment; however, any edits to it will get removed if the file is opened in a newer version of Excel. Learn more: https://go.microsoft.com/fwlink/?linkid=870924
Comment:
    Hvis den ansatte sørger for overnatting selv på yrkesreiser innenlands (for eksempel privat overnatting) kan det utbetales et trekkfritt ulegitimert nattillegg på kroner 435,- per døgn. Dette kommer i tillegg til eventuell diettgodtgjørelse. Overnatter den ansatte privat på reiser i utlandet kan det ikke trekkfritt utbetales nattillegg.
Ved overnatting på tog, båt og liknende i Norge gis det ikke ulegitimert nattillegg når soveplass er inkludert i billetten.</t>
      </text>
    </comment>
  </commentList>
</comments>
</file>

<file path=xl/sharedStrings.xml><?xml version="1.0" encoding="utf-8"?>
<sst xmlns="http://schemas.openxmlformats.org/spreadsheetml/2006/main" count="84" uniqueCount="56">
  <si>
    <t>Transport</t>
  </si>
  <si>
    <t>Sum</t>
  </si>
  <si>
    <t>Travel Expense Report</t>
  </si>
  <si>
    <t>Name</t>
  </si>
  <si>
    <t>Address</t>
  </si>
  <si>
    <t>Postal code/City</t>
  </si>
  <si>
    <t>Bank account no.</t>
  </si>
  <si>
    <t>Email</t>
  </si>
  <si>
    <t>Date/time travel start</t>
  </si>
  <si>
    <t>Date/time travel end</t>
  </si>
  <si>
    <t>Date submitted</t>
  </si>
  <si>
    <t>Actual expenses (expense reimbursement, meals incl. if expense allowance not used)</t>
  </si>
  <si>
    <t>Expense type and purpose</t>
  </si>
  <si>
    <t>Attachment no.</t>
  </si>
  <si>
    <t>Amount</t>
  </si>
  <si>
    <t>Of which VAT</t>
  </si>
  <si>
    <t>Category</t>
  </si>
  <si>
    <t>Rebilled to customer</t>
  </si>
  <si>
    <t>Expense coverage per the Directorate of Taxes' tax-free advance rates (expense allowance)</t>
  </si>
  <si>
    <t>What</t>
  </si>
  <si>
    <t>Per diem with hotel accommodation</t>
  </si>
  <si>
    <t xml:space="preserve">  Deduction breakfast if covered by receipt, treated, or included in price</t>
  </si>
  <si>
    <t xml:space="preserve">  Deduction lunch if covered by receipt, treated, or included in price</t>
  </si>
  <si>
    <t xml:space="preserve">  Deduction dinner if covered by receipt, treated, or included in price</t>
  </si>
  <si>
    <t>Per diem with other accommodation without cooking facilities</t>
  </si>
  <si>
    <t>Per diem on business/work travel with other accommodation with cooking facilities</t>
  </si>
  <si>
    <t>Day allowance – from 6 up to 12 hours</t>
  </si>
  <si>
    <t xml:space="preserve">  Deduction</t>
  </si>
  <si>
    <t>Day allowance – over 12 hours</t>
  </si>
  <si>
    <t>Night supplement (applies only to domestic travel)</t>
  </si>
  <si>
    <t>Mileage allowance (including EV)</t>
  </si>
  <si>
    <t>Passenger supplement per km per passenger</t>
  </si>
  <si>
    <t>Supplement for driving on forest and construction roads per km</t>
  </si>
  <si>
    <t>Supplement for transport of equipment and materials per km</t>
  </si>
  <si>
    <t>Rate</t>
  </si>
  <si>
    <t>Date from and to</t>
  </si>
  <si>
    <t>Quantity</t>
  </si>
  <si>
    <t>Quantity rebilled</t>
  </si>
  <si>
    <t>Total</t>
  </si>
  <si>
    <t>Markup customer</t>
  </si>
  <si>
    <t>Combined</t>
  </si>
  <si>
    <t>Hotel</t>
  </si>
  <si>
    <t>Fuel</t>
  </si>
  <si>
    <t>Meals</t>
  </si>
  <si>
    <t>Phone</t>
  </si>
  <si>
    <t>Entertainment</t>
  </si>
  <si>
    <t>Misc</t>
  </si>
  <si>
    <t>Subsistence and supplements</t>
  </si>
  <si>
    <t>Original currency</t>
  </si>
  <si>
    <t>NOK</t>
  </si>
  <si>
    <t>Date</t>
  </si>
  <si>
    <t>Summary for bookkeeping</t>
  </si>
  <si>
    <t>Other currencies</t>
  </si>
  <si>
    <t>Not refunded by customer</t>
  </si>
  <si>
    <t>Refunded by customer</t>
  </si>
  <si>
    <t>Rates valid until: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</si>
</sst>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[$-409]mmmm\ d\,\ yyyy;@"/>
    <numFmt numFmtId="167" formatCode="_-* #,##0.00&quot; NOK&quot;_-;\-* #,##0.00&quot; NOK&quot;_-;_-* &quot;-&quot;??_-;_-@_-"/>
    <numFmt numFmtId="168" formatCode="dd\.mm\.yyyy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14"/>
      <color rgb="FF3756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548235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medium">
        <color rgb="FF548235"/>
      </right>
      <top style="thin">
        <color rgb="FFA9D08E"/>
      </top>
      <bottom style="thin">
        <color rgb="FFA9D08E"/>
      </bottom>
      <diagonal/>
    </border>
    <border>
      <left style="medium">
        <color rgb="FF548235"/>
      </left>
      <right style="thin">
        <color rgb="FFA9D08E"/>
      </right>
      <top style="medium">
        <color rgb="FF548235"/>
      </top>
      <bottom/>
      <diagonal/>
    </border>
    <border>
      <left style="thin">
        <color rgb="FFA9D08E"/>
      </left>
      <right style="thin">
        <color rgb="FFA9D08E"/>
      </right>
      <top style="medium">
        <color rgb="FF548235"/>
      </top>
      <bottom/>
      <diagonal/>
    </border>
    <border>
      <left style="thin">
        <color rgb="FFA9D08E"/>
      </left>
      <right style="medium">
        <color rgb="FF548235"/>
      </right>
      <top style="medium">
        <color rgb="FF548235"/>
      </top>
      <bottom/>
      <diagonal/>
    </border>
    <border>
      <left style="medium">
        <color rgb="FF548235"/>
      </left>
      <right style="thin">
        <color rgb="FFA9D08E"/>
      </right>
      <top/>
      <bottom style="thin">
        <color rgb="FFA9D08E"/>
      </bottom>
      <diagonal/>
    </border>
    <border>
      <left style="thin">
        <color rgb="FFA9D08E"/>
      </left>
      <right style="thin">
        <color rgb="FFA9D08E"/>
      </right>
      <top/>
      <bottom style="thin">
        <color rgb="FFA9D08E"/>
      </bottom>
      <diagonal/>
    </border>
    <border>
      <left style="thin">
        <color rgb="FFA9D08E"/>
      </left>
      <right style="medium">
        <color rgb="FF548235"/>
      </right>
      <top/>
      <bottom style="thin">
        <color rgb="FFA9D08E"/>
      </bottom>
      <diagonal/>
    </border>
    <border>
      <left style="medium">
        <color rgb="FF548235"/>
      </left>
      <right style="thin">
        <color rgb="FFA9D08E"/>
      </right>
      <top style="thin">
        <color rgb="FFA9D08E"/>
      </top>
      <bottom style="medium">
        <color rgb="FF375623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medium">
        <color rgb="FF375623"/>
      </bottom>
      <diagonal/>
    </border>
    <border>
      <left style="thin">
        <color rgb="FFA9D08E"/>
      </left>
      <right style="medium">
        <color rgb="FF548235"/>
      </right>
      <top style="thin">
        <color rgb="FFA9D08E"/>
      </top>
      <bottom style="medium">
        <color rgb="FF375623"/>
      </bottom>
      <diagonal/>
    </border>
    <border>
      <left style="medium">
        <color rgb="FF548235"/>
      </left>
      <right style="thin">
        <color rgb="FFA9D08E"/>
      </right>
      <top style="thin">
        <color rgb="FFA9D08E"/>
      </top>
      <bottom/>
      <diagonal/>
    </border>
    <border>
      <left style="thin">
        <color rgb="FFA9D08E"/>
      </left>
      <right style="thin">
        <color rgb="FFA9D08E"/>
      </right>
      <top style="thin">
        <color rgb="FFA9D08E"/>
      </top>
      <bottom/>
      <diagonal/>
    </border>
    <border>
      <left style="thin">
        <color rgb="FFA9D08E"/>
      </left>
      <right style="medium">
        <color rgb="FF548235"/>
      </right>
      <top style="thin">
        <color rgb="FFA9D08E"/>
      </top>
      <bottom/>
      <diagonal/>
    </border>
    <border>
      <left style="medium">
        <color rgb="FF548235"/>
      </left>
      <right style="thin">
        <color rgb="FFA9D08E"/>
      </right>
      <top style="medium">
        <color rgb="FF375623"/>
      </top>
      <bottom style="medium">
        <color rgb="FF548235"/>
      </bottom>
      <diagonal/>
    </border>
    <border>
      <left style="thin">
        <color rgb="FFA9D08E"/>
      </left>
      <right style="thin">
        <color rgb="FFA9D08E"/>
      </right>
      <top style="medium">
        <color rgb="FF375623"/>
      </top>
      <bottom style="medium">
        <color rgb="FF548235"/>
      </bottom>
      <diagonal/>
    </border>
    <border>
      <left style="thin">
        <color rgb="FFA9D08E"/>
      </left>
      <right style="medium">
        <color rgb="FF548235"/>
      </right>
      <top style="medium">
        <color rgb="FF375623"/>
      </top>
      <bottom style="medium">
        <color rgb="FF548235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2" xfId="0" applyFont="1" applyFill="1" applyBorder="1"/>
    <xf numFmtId="0" fontId="4" fillId="2" borderId="1" xfId="0" applyFont="1" applyFill="1" applyBorder="1"/>
    <xf numFmtId="0" fontId="3" fillId="2" borderId="2" xfId="0" applyFont="1" applyFill="1" applyBorder="1" applyAlignment="1">
      <alignment horizontal="right"/>
    </xf>
    <xf numFmtId="49" fontId="3" fillId="2" borderId="0" xfId="0" applyNumberFormat="1" applyFont="1" applyFill="1"/>
    <xf numFmtId="164" fontId="4" fillId="2" borderId="1" xfId="1" applyFont="1" applyFill="1" applyBorder="1"/>
    <xf numFmtId="0" fontId="4" fillId="4" borderId="0" xfId="0" applyFont="1" applyFill="1"/>
    <xf numFmtId="0" fontId="3" fillId="4" borderId="0" xfId="0" applyFont="1" applyFill="1"/>
    <xf numFmtId="22" fontId="3" fillId="4" borderId="0" xfId="0" applyNumberFormat="1" applyFont="1" applyFill="1"/>
    <xf numFmtId="164" fontId="4" fillId="2" borderId="3" xfId="1" applyFont="1" applyFill="1" applyBorder="1"/>
    <xf numFmtId="0" fontId="4" fillId="2" borderId="3" xfId="0" applyFont="1" applyFill="1" applyBorder="1"/>
    <xf numFmtId="165" fontId="3" fillId="2" borderId="0" xfId="1" applyNumberFormat="1" applyFont="1" applyFill="1"/>
    <xf numFmtId="0" fontId="4" fillId="3" borderId="1" xfId="0" applyFont="1" applyFill="1" applyBorder="1"/>
    <xf numFmtId="9" fontId="3" fillId="3" borderId="0" xfId="0" applyNumberFormat="1" applyFont="1" applyFill="1"/>
    <xf numFmtId="0" fontId="3" fillId="2" borderId="0" xfId="0" applyFont="1" applyFill="1" applyAlignment="1">
      <alignment horizontal="left"/>
    </xf>
    <xf numFmtId="166" fontId="3" fillId="4" borderId="0" xfId="0" applyNumberFormat="1" applyFont="1" applyFill="1"/>
    <xf numFmtId="167" fontId="3" fillId="2" borderId="0" xfId="1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7" fontId="3" fillId="2" borderId="0" xfId="1" applyNumberFormat="1" applyFont="1" applyFill="1"/>
    <xf numFmtId="167" fontId="4" fillId="2" borderId="1" xfId="1" applyNumberFormat="1" applyFont="1" applyFill="1" applyBorder="1"/>
    <xf numFmtId="167" fontId="3" fillId="3" borderId="0" xfId="1" applyNumberFormat="1" applyFont="1" applyFill="1"/>
    <xf numFmtId="167" fontId="4" fillId="3" borderId="1" xfId="1" applyNumberFormat="1" applyFont="1" applyFill="1" applyBorder="1"/>
    <xf numFmtId="167" fontId="3" fillId="3" borderId="0" xfId="0" applyNumberFormat="1" applyFont="1" applyFill="1"/>
    <xf numFmtId="0" fontId="7" fillId="5" borderId="0" xfId="0" applyFont="1" applyFill="1" applyAlignment="1">
      <alignment horizontal="left"/>
    </xf>
    <xf numFmtId="168" fontId="3" fillId="2" borderId="0" xfId="0" applyNumberFormat="1" applyFont="1" applyFill="1" applyAlignment="1">
      <alignment horizontal="left"/>
    </xf>
    <xf numFmtId="0" fontId="7" fillId="5" borderId="2" xfId="0" applyFont="1" applyFill="1" applyBorder="1" applyAlignment="1">
      <alignment horizontal="left"/>
    </xf>
    <xf numFmtId="168" fontId="7" fillId="5" borderId="0" xfId="0" applyNumberFormat="1" applyFont="1" applyFill="1" applyAlignment="1">
      <alignment horizontal="left"/>
    </xf>
    <xf numFmtId="167" fontId="3" fillId="5" borderId="0" xfId="1" applyNumberFormat="1" applyFont="1" applyFill="1" applyAlignment="1">
      <alignment horizontal="right"/>
    </xf>
    <xf numFmtId="164" fontId="3" fillId="2" borderId="0" xfId="1" applyFont="1" applyFill="1" applyBorder="1" applyAlignment="1">
      <alignment horizontal="left"/>
    </xf>
    <xf numFmtId="164" fontId="3" fillId="2" borderId="2" xfId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0" borderId="0" xfId="0" applyFill="1"/>
    <xf numFmtId="0" fontId="8" fillId="0" borderId="0" xfId="0" applyFont="1"/>
    <xf numFmtId="0" fontId="11" fillId="5" borderId="4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vertical="center"/>
    </xf>
    <xf numFmtId="167" fontId="12" fillId="10" borderId="6" xfId="0" applyNumberFormat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9" fillId="7" borderId="8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9" fillId="8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left" vertical="center" indent="1"/>
    </xf>
    <xf numFmtId="0" fontId="3" fillId="3" borderId="11" xfId="0" applyFont="1" applyFill="1" applyBorder="1" applyAlignment="1">
      <alignment vertical="center"/>
    </xf>
    <xf numFmtId="167" fontId="11" fillId="6" borderId="11" xfId="0" applyNumberFormat="1" applyFont="1" applyFill="1" applyBorder="1" applyAlignment="1">
      <alignment vertical="center"/>
    </xf>
    <xf numFmtId="167" fontId="12" fillId="10" borderId="12" xfId="0" applyNumberFormat="1" applyFont="1" applyFill="1" applyBorder="1" applyAlignment="1">
      <alignment vertical="center"/>
    </xf>
    <xf numFmtId="0" fontId="10" fillId="9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vertical="center"/>
    </xf>
    <xf numFmtId="0" fontId="10" fillId="9" borderId="14" xfId="0" applyFont="1" applyFill="1" applyBorder="1" applyAlignment="1">
      <alignment horizontal="right" vertical="center"/>
    </xf>
    <xf numFmtId="0" fontId="0" fillId="0" borderId="15" xfId="0" applyBorder="1" applyAlignment="1">
      <alignment vertical="center"/>
    </xf>
    <xf numFmtId="0" fontId="11" fillId="5" borderId="16" xfId="0" applyFont="1" applyFill="1" applyBorder="1" applyAlignment="1">
      <alignment horizontal="left" vertical="center" indent="1"/>
    </xf>
    <xf numFmtId="0" fontId="3" fillId="3" borderId="17" xfId="0" applyFont="1" applyFill="1" applyBorder="1" applyAlignment="1">
      <alignment vertical="center"/>
    </xf>
    <xf numFmtId="167" fontId="12" fillId="10" borderId="18" xfId="0" applyNumberFormat="1" applyFont="1" applyFill="1" applyBorder="1" applyAlignment="1">
      <alignment vertical="center"/>
    </xf>
    <xf numFmtId="167" fontId="12" fillId="10" borderId="20" xfId="0" applyNumberFormat="1" applyFont="1" applyFill="1" applyBorder="1" applyAlignment="1">
      <alignment vertical="center"/>
    </xf>
    <xf numFmtId="167" fontId="9" fillId="7" borderId="21" xfId="0" applyNumberFormat="1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12" fillId="10" borderId="19" xfId="0" applyFont="1" applyFill="1" applyBorder="1" applyAlignment="1">
      <alignment horizontal="left" vertical="center" indent="1"/>
    </xf>
    <xf numFmtId="167" fontId="4" fillId="2" borderId="0" xfId="1" applyNumberFormat="1" applyFont="1" applyFill="1" applyAlignment="1">
      <alignment horizontal="right"/>
    </xf>
    <xf numFmtId="168" fontId="4" fillId="2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3">
    <dxf>
      <font>
        <b/>
        <i val="0"/>
        <color rgb="FFFFFFFF"/>
      </font>
      <fill>
        <patternFill patternType="solid">
          <fgColor indexed="64"/>
          <bgColor rgb="FFFF4C4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an Braathen" id="{6F0DE8DB-6D3C-6B41-9233-634DEF16C2B8}" userId="S::christian.braathen@nhh.no::c2bc8643-46cc-4c04-9868-5753a0f4825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2-02-04T18:10:36.05" personId="{6F0DE8DB-6D3C-6B41-9233-634DEF16C2B8}" id="{EED564C0-6C66-B443-9C40-C323E4136907}">
    <text xml:space="preserve">- Et døgn varer i 24 timer fra reisens starttidspunkt.
Reiser som varer mer enn 
- 6 timer inn i nytt døgn gir rett til full døgndiettsats etter samme sats som siste døgn.
- Reiser som varer under 6 timer inn i nytt døgn gis det ingen godtgjørelse for.
</text>
  </threadedComment>
  <threadedComment ref="A10" dT="2022-02-04T18:10:41.50" personId="{6F0DE8DB-6D3C-6B41-9233-634DEF16C2B8}" id="{C2C343A4-EB28-5E44-80D1-629C05DE3EE9}">
    <text xml:space="preserve">- Et døgn varer i 24 timer fra reisens starttidspunkt.
Reiser som varer mer enn 
- 6 timer inn i nytt døgn gir rett til full døgndiettsats etter samme sats som siste døgn.
- Reiser som varer under 6 timer inn i nytt døgn gis det ingen godtgjørelse for.
</text>
  </threadedComment>
  <threadedComment ref="A47" dT="2022-02-04T18:08:30.67" personId="{6F0DE8DB-6D3C-6B41-9233-634DEF16C2B8}" id="{FF078FEA-645E-A64A-B512-289C1C510559}">
    <text>For at reisen skal anses som en reise med overnatting må den ansatte tilbringe mer enn fem timer av natten utenfor hjemmet. I denne sammenheng anses natt som tiden mellom klokken 22.00 og 06.00.</text>
  </threadedComment>
  <threadedComment ref="A47" dT="2022-02-04T18:09:42.06" personId="{6F0DE8DB-6D3C-6B41-9233-634DEF16C2B8}" id="{5ACFB915-E34C-254D-AD73-F8B7E04C140B}" parentId="{FF078FEA-645E-A64A-B512-289C1C510559}">
    <text xml:space="preserve">- Et døgn varer i 24 timer fra reisens starttidspunkt.
Reiser som varer mer enn 
- 6 timer inn i nytt døgn gir rett til full døgndiettsats etter samme sats som siste døgn.
- Reiser som varer under 6 timer inn i nytt døgn gis det ingen godtgjørelse for.
</text>
  </threadedComment>
  <threadedComment ref="A51" dT="2022-02-04T18:08:35.37" personId="{6F0DE8DB-6D3C-6B41-9233-634DEF16C2B8}" id="{7C3264C3-096F-C34C-A0A7-3E6B1BA4A995}">
    <text>For at reisen skal anses som en reise med overnatting må den ansatte tilbringe mer enn fem timer av natten utenfor hjemmet. I denne sammenheng anses natt som tiden mellom klokken 22.00 og 06.00.</text>
  </threadedComment>
  <threadedComment ref="A51" dT="2022-02-04T18:09:37.49" personId="{6F0DE8DB-6D3C-6B41-9233-634DEF16C2B8}" id="{532FEC2D-E658-8048-943D-B091D5204B79}" parentId="{7C3264C3-096F-C34C-A0A7-3E6B1BA4A995}">
    <text xml:space="preserve">- Et døgn varer i 24 timer fra reisens starttidspunkt.
Reiser som varer mer enn 
- 6 timer inn i nytt døgn gir rett til full døgndiettsats etter samme sats som siste døgn.
- Reiser som varer under 6 timer inn i nytt døgn gis det ingen godtgjørelse for.
</text>
  </threadedComment>
  <threadedComment ref="A55" dT="2022-02-04T18:08:39.85" personId="{6F0DE8DB-6D3C-6B41-9233-634DEF16C2B8}" id="{8116723A-7C89-C740-819B-31A8DA36EC64}">
    <text>For at reisen skal anses som en reise med overnatting må den ansatte tilbringe mer enn fem timer av natten utenfor hjemmet. I denne sammenheng anses natt som tiden mellom klokken 22.00 og 06.00.</text>
  </threadedComment>
  <threadedComment ref="A55" dT="2022-02-04T18:09:45.65" personId="{6F0DE8DB-6D3C-6B41-9233-634DEF16C2B8}" id="{93D809E6-105C-E34A-80C2-4016F0968905}" parentId="{8116723A-7C89-C740-819B-31A8DA36EC64}">
    <text xml:space="preserve">- Et døgn varer i 24 timer fra reisens starttidspunkt.
Reiser som varer mer enn 
- 6 timer inn i nytt døgn gir rett til full døgndiettsats etter samme sats som siste døgn.
- Reiser som varer under 6 timer inn i nytt døgn gis det ingen godtgjørelse for.
</text>
  </threadedComment>
  <threadedComment ref="A59" dT="2022-02-04T18:07:55.79" personId="{6F0DE8DB-6D3C-6B41-9233-634DEF16C2B8}" id="{01642E53-B5CC-0342-94A7-CB2336FC2774}">
    <text>På reiser uten overnatting kan det trekkfritt utbetales dagdiett etter Skattedirektoratets satser, så lenge oppdragsstedet er mer enn 15 km fra reisens utgangspunkt, og reisen varer mer enn 6 timer. Det er imidlertid en forutsetning at arbeidstakeren har merkostnader til kost i forbindelse med reisen.</text>
  </threadedComment>
  <threadedComment ref="A61" dT="2022-02-04T18:08:03.99" personId="{6F0DE8DB-6D3C-6B41-9233-634DEF16C2B8}" id="{D14C9EAA-EB3B-B14F-92F6-EC0F61CAB8A8}">
    <text>På reiser uten overnatting kan det trekkfritt utbetales dagdiett etter Skattedirektoratets satser, så lenge oppdragsstedet er mer enn 15 km fra reisens utgangspunkt, og reisen varer mer enn 6 timer. Det er imidlertid en forutsetning at arbeidstakeren har merkostnader til kost i forbindelse med reisen.</text>
  </threadedComment>
  <threadedComment ref="A63" dT="2022-02-04T17:26:43.26" personId="{6F0DE8DB-6D3C-6B41-9233-634DEF16C2B8}" id="{A1450B41-72DE-7B42-A989-A32E5D18C6F6}">
    <text>Hvis den ansatte sørger for overnatting selv på yrkesreiser innenlands (for eksempel privat overnatting) kan det utbetales et trekkfritt ulegitimert nattillegg på kroner 435,- per døgn. Dette kommer i tillegg til eventuell diettgodtgjørelse. Overnatter den ansatte privat på reiser i utlandet kan det ikke trekkfritt utbetales nattillegg.
Ved overnatting på tog, båt og liknende i Norge gis det ikke ulegitimert nattillegg når soveplass er inkludert i billetten.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FA6406-BE9D-914C-B6BD-B05C634CF89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7038012-1168-481f-8fa4-a9689eeea9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C237-8F31-DD43-B1BA-040B17513340}">
  <sheetPr>
    <pageSetUpPr fitToPage="1"/>
  </sheetPr>
  <dimension ref="A1:N92"/>
  <sheetViews>
    <sheetView tabSelected="1" zoomScale="90" zoomScaleNormal="90" workbookViewId="0">
      <selection activeCell="N13" sqref="N13"/>
    </sheetView>
  </sheetViews>
  <sheetFormatPr baseColWidth="10" defaultColWidth="11.5" defaultRowHeight="14" x14ac:dyDescent="0.2"/>
  <cols>
    <col min="1" max="1" width="20" style="1" customWidth="1"/>
    <col min="2" max="2" width="18.33203125" style="1" customWidth="1"/>
    <col min="3" max="7" width="15.83203125" style="1" customWidth="1"/>
    <col min="8" max="8" width="10" style="1" bestFit="1" customWidth="1"/>
    <col min="9" max="9" width="16.5" style="1" bestFit="1" customWidth="1"/>
    <col min="10" max="10" width="17" style="1" bestFit="1" customWidth="1"/>
    <col min="11" max="11" width="13" style="1" bestFit="1" customWidth="1"/>
    <col min="12" max="16384" width="11.5" style="1"/>
  </cols>
  <sheetData>
    <row r="1" spans="1:14" ht="39" x14ac:dyDescent="0.45">
      <c r="A1" s="34" t="s">
        <v>2</v>
      </c>
      <c r="B1" s="34"/>
      <c r="C1" s="34"/>
      <c r="D1" s="34"/>
      <c r="E1" s="34"/>
      <c r="F1" s="34"/>
      <c r="G1" s="34"/>
      <c r="H1" s="34"/>
      <c r="I1" s="34"/>
      <c r="J1" s="34"/>
    </row>
    <row r="2" spans="1:14" ht="14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4" ht="14" customHeight="1" x14ac:dyDescent="0.2">
      <c r="A3" s="4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4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4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ht="16" x14ac:dyDescent="0.2">
      <c r="A7" s="4" t="s">
        <v>7</v>
      </c>
      <c r="B7" s="35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4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10" t="s">
        <v>8</v>
      </c>
      <c r="B9" s="12"/>
      <c r="C9" s="11"/>
      <c r="D9" s="11"/>
      <c r="E9" s="11"/>
      <c r="F9" s="11"/>
      <c r="G9" s="11"/>
      <c r="H9" s="11"/>
      <c r="I9" s="11"/>
      <c r="J9" s="11"/>
      <c r="K9" s="11"/>
    </row>
    <row r="10" spans="1:14" x14ac:dyDescent="0.2">
      <c r="A10" s="10" t="s">
        <v>9</v>
      </c>
      <c r="B10" s="12"/>
      <c r="C10" s="11"/>
      <c r="D10" s="11"/>
      <c r="E10" s="11"/>
      <c r="F10" s="11"/>
      <c r="G10" s="11"/>
      <c r="H10" s="11"/>
      <c r="I10" s="11"/>
      <c r="J10" s="11"/>
      <c r="K10" s="11"/>
    </row>
    <row r="11" spans="1:14" x14ac:dyDescent="0.2">
      <c r="A11" s="10" t="s">
        <v>10</v>
      </c>
      <c r="B11" s="19"/>
      <c r="C11" s="11"/>
      <c r="D11" s="11"/>
      <c r="E11" s="11"/>
      <c r="F11" s="11"/>
      <c r="G11" s="11"/>
      <c r="H11" s="11"/>
      <c r="I11" s="11"/>
      <c r="J11" s="11"/>
      <c r="K11" s="11"/>
    </row>
    <row r="12" spans="1:14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4" t="s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29" t="s">
        <v>50</v>
      </c>
      <c r="B14" s="29" t="s">
        <v>12</v>
      </c>
      <c r="C14" s="5"/>
      <c r="D14" s="5"/>
      <c r="E14" s="5"/>
      <c r="F14" s="5" t="s">
        <v>13</v>
      </c>
      <c r="G14" s="7" t="s">
        <v>14</v>
      </c>
      <c r="H14" s="7" t="s">
        <v>15</v>
      </c>
      <c r="I14" s="5" t="s">
        <v>16</v>
      </c>
      <c r="J14" s="5" t="s">
        <v>17</v>
      </c>
      <c r="K14" s="5" t="s">
        <v>48</v>
      </c>
    </row>
    <row r="15" spans="1:14" ht="16" x14ac:dyDescent="0.2">
      <c r="A15" s="28"/>
      <c r="B15" s="18"/>
      <c r="C15" s="18"/>
      <c r="D15" s="18"/>
      <c r="E15" s="18"/>
      <c r="F15" s="8"/>
      <c r="G15" s="31"/>
      <c r="H15" s="21"/>
      <c r="I15" s="3"/>
      <c r="J15" s="20"/>
      <c r="K15" s="20"/>
      <c r="M15"/>
      <c r="N15"/>
    </row>
    <row r="16" spans="1:14" ht="16" x14ac:dyDescent="0.2">
      <c r="A16" s="28"/>
      <c r="B16" s="18"/>
      <c r="C16" s="18"/>
      <c r="D16" s="18"/>
      <c r="E16" s="18"/>
      <c r="F16" s="8"/>
      <c r="G16" s="31"/>
      <c r="H16" s="21"/>
      <c r="I16" s="3"/>
      <c r="J16" s="20"/>
      <c r="K16" s="20"/>
      <c r="M16"/>
      <c r="N16"/>
    </row>
    <row r="17" spans="1:14" ht="16" x14ac:dyDescent="0.2">
      <c r="A17" s="30"/>
      <c r="B17" s="27"/>
      <c r="C17" s="18"/>
      <c r="D17" s="18"/>
      <c r="E17" s="18"/>
      <c r="F17" s="8"/>
      <c r="G17" s="20"/>
      <c r="H17" s="21"/>
      <c r="I17" s="3"/>
      <c r="J17" s="20"/>
      <c r="K17" s="20"/>
      <c r="M17"/>
      <c r="N17"/>
    </row>
    <row r="18" spans="1:14" ht="16" x14ac:dyDescent="0.2">
      <c r="A18" s="30"/>
      <c r="B18" s="27"/>
      <c r="C18" s="18"/>
      <c r="D18" s="18"/>
      <c r="E18" s="18"/>
      <c r="F18" s="8"/>
      <c r="G18" s="20"/>
      <c r="H18" s="21"/>
      <c r="I18" s="3"/>
      <c r="J18" s="20"/>
      <c r="K18" s="20"/>
      <c r="M18"/>
      <c r="N18"/>
    </row>
    <row r="19" spans="1:14" ht="16" x14ac:dyDescent="0.2">
      <c r="A19" s="30"/>
      <c r="B19" s="27"/>
      <c r="C19" s="18"/>
      <c r="D19" s="18"/>
      <c r="E19" s="18"/>
      <c r="F19" s="8"/>
      <c r="G19" s="20"/>
      <c r="H19" s="21"/>
      <c r="I19" s="3"/>
      <c r="J19" s="20"/>
      <c r="K19" s="20"/>
      <c r="M19"/>
      <c r="N19"/>
    </row>
    <row r="20" spans="1:14" ht="16" x14ac:dyDescent="0.2">
      <c r="A20" s="30"/>
      <c r="B20" s="27"/>
      <c r="C20" s="18"/>
      <c r="D20" s="18"/>
      <c r="E20" s="18"/>
      <c r="F20" s="8"/>
      <c r="G20" s="20"/>
      <c r="H20" s="21"/>
      <c r="I20" s="3"/>
      <c r="J20" s="20"/>
      <c r="K20" s="20"/>
      <c r="M20"/>
      <c r="N20"/>
    </row>
    <row r="21" spans="1:14" ht="16" x14ac:dyDescent="0.2">
      <c r="A21" s="30"/>
      <c r="B21" s="27"/>
      <c r="C21" s="18"/>
      <c r="D21" s="18"/>
      <c r="E21" s="18"/>
      <c r="F21" s="8"/>
      <c r="G21" s="20"/>
      <c r="H21" s="21"/>
      <c r="I21" s="3"/>
      <c r="J21" s="20"/>
      <c r="K21" s="20"/>
      <c r="M21"/>
      <c r="N21"/>
    </row>
    <row r="22" spans="1:14" ht="16" x14ac:dyDescent="0.2">
      <c r="A22" s="30"/>
      <c r="B22" s="27"/>
      <c r="C22" s="18"/>
      <c r="D22" s="18"/>
      <c r="E22" s="18"/>
      <c r="F22" s="8"/>
      <c r="G22" s="20"/>
      <c r="H22" s="21"/>
      <c r="I22" s="3"/>
      <c r="J22" s="20"/>
      <c r="K22" s="20"/>
      <c r="M22"/>
      <c r="N22"/>
    </row>
    <row r="23" spans="1:14" ht="16" x14ac:dyDescent="0.2">
      <c r="A23" s="30"/>
      <c r="B23" s="27"/>
      <c r="C23" s="18"/>
      <c r="D23" s="18"/>
      <c r="E23" s="18"/>
      <c r="F23" s="8"/>
      <c r="G23" s="20"/>
      <c r="H23" s="21"/>
      <c r="I23" s="3"/>
      <c r="J23" s="20"/>
      <c r="K23" s="20"/>
      <c r="M23"/>
      <c r="N23"/>
    </row>
    <row r="24" spans="1:14" ht="16" x14ac:dyDescent="0.2">
      <c r="A24" s="30"/>
      <c r="B24" s="27"/>
      <c r="C24" s="18"/>
      <c r="D24" s="18"/>
      <c r="E24" s="18"/>
      <c r="F24" s="8"/>
      <c r="G24" s="20"/>
      <c r="H24" s="21"/>
      <c r="I24" s="3"/>
      <c r="J24" s="20"/>
      <c r="K24" s="20"/>
      <c r="M24"/>
      <c r="N24"/>
    </row>
    <row r="25" spans="1:14" ht="16" x14ac:dyDescent="0.2">
      <c r="A25" s="30"/>
      <c r="B25" s="27"/>
      <c r="C25" s="18"/>
      <c r="D25" s="18"/>
      <c r="E25" s="18"/>
      <c r="F25" s="8"/>
      <c r="G25" s="20"/>
      <c r="H25" s="21"/>
      <c r="I25" s="3"/>
      <c r="J25" s="20"/>
      <c r="K25" s="20"/>
      <c r="M25"/>
      <c r="N25"/>
    </row>
    <row r="26" spans="1:14" ht="16" x14ac:dyDescent="0.2">
      <c r="A26" s="30"/>
      <c r="B26" s="27"/>
      <c r="C26" s="18"/>
      <c r="D26" s="18"/>
      <c r="E26" s="18"/>
      <c r="F26" s="8"/>
      <c r="G26" s="20"/>
      <c r="H26" s="21"/>
      <c r="I26" s="3"/>
      <c r="J26" s="20"/>
      <c r="K26" s="20"/>
      <c r="M26"/>
      <c r="N26"/>
    </row>
    <row r="27" spans="1:14" ht="16" x14ac:dyDescent="0.2">
      <c r="A27" s="30"/>
      <c r="B27" s="27"/>
      <c r="C27" s="18"/>
      <c r="D27" s="18"/>
      <c r="E27" s="18"/>
      <c r="F27" s="8"/>
      <c r="G27" s="20"/>
      <c r="H27" s="21"/>
      <c r="I27" s="3"/>
      <c r="J27" s="20"/>
      <c r="K27" s="20"/>
      <c r="M27"/>
      <c r="N27"/>
    </row>
    <row r="28" spans="1:14" ht="16" x14ac:dyDescent="0.2">
      <c r="A28" s="30"/>
      <c r="B28" s="27"/>
      <c r="C28" s="18"/>
      <c r="D28" s="18"/>
      <c r="E28" s="18"/>
      <c r="F28" s="8"/>
      <c r="G28" s="20"/>
      <c r="H28" s="21"/>
      <c r="I28" s="3"/>
      <c r="J28" s="20"/>
      <c r="K28" s="20"/>
      <c r="M28"/>
      <c r="N28"/>
    </row>
    <row r="29" spans="1:14" ht="16" x14ac:dyDescent="0.2">
      <c r="A29" s="30"/>
      <c r="B29" s="27"/>
      <c r="C29" s="18"/>
      <c r="D29" s="18"/>
      <c r="E29" s="18"/>
      <c r="F29" s="8"/>
      <c r="G29" s="20"/>
      <c r="H29" s="21"/>
      <c r="I29" s="3"/>
      <c r="J29" s="20"/>
      <c r="K29" s="20"/>
      <c r="M29"/>
      <c r="N29"/>
    </row>
    <row r="30" spans="1:14" ht="16" x14ac:dyDescent="0.2">
      <c r="A30" s="30"/>
      <c r="B30" s="27"/>
      <c r="C30" s="18"/>
      <c r="D30" s="18"/>
      <c r="E30" s="18"/>
      <c r="F30" s="8"/>
      <c r="G30" s="20"/>
      <c r="H30" s="21"/>
      <c r="I30" s="3"/>
      <c r="J30" s="20"/>
      <c r="K30" s="20"/>
      <c r="M30"/>
      <c r="N30"/>
    </row>
    <row r="31" spans="1:14" ht="16" x14ac:dyDescent="0.2">
      <c r="A31" s="30"/>
      <c r="B31" s="27"/>
      <c r="C31" s="18"/>
      <c r="D31" s="18"/>
      <c r="E31" s="18"/>
      <c r="F31" s="8"/>
      <c r="G31" s="20"/>
      <c r="H31" s="21"/>
      <c r="I31" s="3"/>
      <c r="J31" s="20"/>
      <c r="K31" s="20"/>
      <c r="M31"/>
      <c r="N31"/>
    </row>
    <row r="32" spans="1:14" ht="16" x14ac:dyDescent="0.2">
      <c r="A32" s="28"/>
      <c r="B32" s="18"/>
      <c r="C32" s="18"/>
      <c r="D32" s="18"/>
      <c r="E32" s="18"/>
      <c r="F32" s="8"/>
      <c r="G32" s="31"/>
      <c r="H32" s="21"/>
      <c r="I32" s="3"/>
      <c r="J32" s="20"/>
      <c r="K32" s="20"/>
      <c r="M32"/>
      <c r="N32"/>
    </row>
    <row r="33" spans="1:14" ht="16" x14ac:dyDescent="0.2">
      <c r="A33" s="30"/>
      <c r="B33" s="27"/>
      <c r="C33" s="18"/>
      <c r="D33" s="18"/>
      <c r="E33" s="18"/>
      <c r="F33" s="8"/>
      <c r="G33" s="20"/>
      <c r="H33" s="21"/>
      <c r="I33" s="3"/>
      <c r="J33" s="20"/>
      <c r="K33" s="20"/>
      <c r="M33"/>
      <c r="N33"/>
    </row>
    <row r="34" spans="1:14" ht="16" x14ac:dyDescent="0.2">
      <c r="A34" s="30"/>
      <c r="B34" s="27"/>
      <c r="C34" s="18"/>
      <c r="D34" s="18"/>
      <c r="E34" s="18"/>
      <c r="F34" s="8"/>
      <c r="G34" s="20"/>
      <c r="H34" s="21"/>
      <c r="I34" s="3"/>
      <c r="J34" s="20"/>
      <c r="K34" s="20"/>
      <c r="M34"/>
      <c r="N34"/>
    </row>
    <row r="35" spans="1:14" ht="16" x14ac:dyDescent="0.2">
      <c r="A35" s="30"/>
      <c r="B35" s="27"/>
      <c r="C35" s="18"/>
      <c r="D35" s="18"/>
      <c r="E35" s="18"/>
      <c r="F35" s="8"/>
      <c r="G35" s="20"/>
      <c r="H35" s="21"/>
      <c r="I35" s="3"/>
      <c r="J35" s="20"/>
      <c r="K35" s="20"/>
      <c r="M35"/>
      <c r="N35"/>
    </row>
    <row r="36" spans="1:14" x14ac:dyDescent="0.2">
      <c r="A36" s="30"/>
      <c r="B36" s="27"/>
      <c r="C36" s="18"/>
      <c r="D36" s="18"/>
      <c r="E36" s="18"/>
      <c r="F36" s="8"/>
      <c r="G36" s="20"/>
      <c r="H36" s="21"/>
      <c r="I36" s="3"/>
      <c r="J36" s="20"/>
      <c r="K36" s="20"/>
    </row>
    <row r="37" spans="1:14" x14ac:dyDescent="0.2">
      <c r="A37" s="30"/>
      <c r="B37" s="27"/>
      <c r="C37" s="18"/>
      <c r="D37" s="18"/>
      <c r="E37" s="18"/>
      <c r="F37" s="8"/>
      <c r="G37" s="20"/>
      <c r="H37" s="21"/>
      <c r="I37" s="3"/>
      <c r="J37" s="20"/>
      <c r="K37" s="20"/>
    </row>
    <row r="38" spans="1:14" x14ac:dyDescent="0.2">
      <c r="A38" s="30"/>
      <c r="B38" s="27"/>
      <c r="C38" s="18"/>
      <c r="D38" s="18"/>
      <c r="E38" s="18"/>
      <c r="F38" s="8"/>
      <c r="G38" s="20"/>
      <c r="H38" s="21"/>
      <c r="I38" s="3"/>
      <c r="J38" s="20"/>
      <c r="K38" s="20"/>
    </row>
    <row r="39" spans="1:14" x14ac:dyDescent="0.2">
      <c r="A39" s="30"/>
      <c r="B39" s="27"/>
      <c r="C39" s="18"/>
      <c r="D39" s="18"/>
      <c r="E39" s="18"/>
      <c r="F39" s="8"/>
      <c r="G39" s="20"/>
      <c r="H39" s="21"/>
      <c r="I39" s="3"/>
      <c r="J39" s="20"/>
      <c r="K39" s="20"/>
    </row>
    <row r="40" spans="1:14" x14ac:dyDescent="0.2">
      <c r="A40" s="30"/>
      <c r="B40" s="27"/>
      <c r="C40" s="18"/>
      <c r="D40" s="18"/>
      <c r="E40" s="18"/>
      <c r="F40" s="8"/>
      <c r="G40" s="20"/>
      <c r="H40" s="21"/>
      <c r="I40" s="3"/>
      <c r="J40" s="20"/>
      <c r="K40" s="20"/>
    </row>
    <row r="41" spans="1:14" x14ac:dyDescent="0.2">
      <c r="A41" s="30"/>
      <c r="B41" s="27"/>
      <c r="C41" s="18"/>
      <c r="D41" s="18"/>
      <c r="E41" s="18"/>
      <c r="F41" s="8"/>
      <c r="G41" s="20"/>
      <c r="H41" s="21"/>
      <c r="I41" s="3"/>
      <c r="J41" s="20"/>
      <c r="K41" s="20"/>
    </row>
    <row r="42" spans="1:14" x14ac:dyDescent="0.2">
      <c r="A42" s="30"/>
      <c r="B42" s="27"/>
      <c r="C42" s="18"/>
      <c r="D42" s="18"/>
      <c r="E42" s="18"/>
      <c r="F42" s="8"/>
      <c r="G42" s="20"/>
      <c r="H42" s="21"/>
      <c r="I42" s="3"/>
      <c r="J42" s="20"/>
      <c r="K42" s="20"/>
    </row>
    <row r="43" spans="1:14" x14ac:dyDescent="0.2">
      <c r="A43" s="30"/>
      <c r="B43" s="27"/>
      <c r="C43" s="18"/>
      <c r="D43" s="18"/>
      <c r="E43" s="18"/>
      <c r="F43" s="8"/>
      <c r="G43" s="20"/>
      <c r="H43" s="21"/>
      <c r="I43" s="3"/>
      <c r="J43" s="20"/>
      <c r="K43" s="20"/>
    </row>
    <row r="44" spans="1:14" x14ac:dyDescent="0.2">
      <c r="A44" s="30"/>
      <c r="B44" s="27"/>
      <c r="C44" s="18"/>
      <c r="D44" s="18"/>
      <c r="E44" s="18"/>
      <c r="F44" s="8"/>
      <c r="G44" s="20"/>
      <c r="H44" s="21"/>
      <c r="I44" s="3"/>
      <c r="J44" s="20"/>
      <c r="K44" s="20"/>
    </row>
    <row r="45" spans="1:14" x14ac:dyDescent="0.2">
      <c r="A45" s="30" t="s">
        <v>18</v>
      </c>
      <c r="B45" s="27"/>
      <c r="C45" s="18"/>
      <c r="D45" s="18"/>
      <c r="E45" s="18"/>
      <c r="F45" s="8"/>
      <c r="G45" s="60" t="s">
        <v>55</v>
      </c>
      <c r="H45" s="61">
        <f>DATE(2026,12,31)</f>
        <v>46387</v>
      </c>
      <c r="I45" s="3"/>
      <c r="J45" s="20"/>
      <c r="K45" s="20"/>
    </row>
    <row r="46" spans="1:14" x14ac:dyDescent="0.2">
      <c r="A46" s="30" t="s">
        <v>19</v>
      </c>
      <c r="B46" s="27"/>
      <c r="C46" s="18"/>
      <c r="D46" s="18"/>
      <c r="E46" s="18" t="s">
        <v>34</v>
      </c>
      <c r="F46" s="8" t="s">
        <v>35</v>
      </c>
      <c r="G46" s="20"/>
      <c r="H46" s="21" t="s">
        <v>36</v>
      </c>
      <c r="I46" s="3" t="s">
        <v>37</v>
      </c>
      <c r="J46" s="20" t="s">
        <v>38</v>
      </c>
      <c r="K46" s="20"/>
    </row>
    <row r="47" spans="1:14" x14ac:dyDescent="0.2">
      <c r="A47" s="30" t="s">
        <v>20</v>
      </c>
      <c r="B47" s="27"/>
      <c r="C47" s="18"/>
      <c r="D47" s="18"/>
      <c r="E47" s="18">
        <v>693</v>
      </c>
      <c r="F47" s="8"/>
      <c r="G47" s="20"/>
      <c r="H47" s="21"/>
      <c r="I47" s="3"/>
      <c r="J47" s="20" t="str">
        <f t="shared" ref="J47:J62" si="0">IF(H47&lt;&gt;0,E47*H47,"")</f>
        <v/>
      </c>
      <c r="K47" s="20"/>
    </row>
    <row r="48" spans="1:14" x14ac:dyDescent="0.2">
      <c r="A48" s="30" t="s">
        <v>21</v>
      </c>
      <c r="B48" s="27"/>
      <c r="C48" s="18"/>
      <c r="D48" s="18"/>
      <c r="E48" s="18">
        <f>(-1)*E$47*0.2</f>
        <v>-138.6</v>
      </c>
      <c r="F48" s="8"/>
      <c r="G48" s="20"/>
      <c r="H48" s="21"/>
      <c r="I48" s="3"/>
      <c r="J48" s="20" t="str">
        <f t="shared" si="0"/>
        <v/>
      </c>
      <c r="K48" s="20"/>
    </row>
    <row r="49" spans="1:11" x14ac:dyDescent="0.2">
      <c r="A49" s="30" t="s">
        <v>22</v>
      </c>
      <c r="B49" s="27"/>
      <c r="C49" s="18"/>
      <c r="D49" s="18"/>
      <c r="E49" s="18">
        <f>(-1)*E$47*0.3</f>
        <v>-207.9</v>
      </c>
      <c r="F49" s="8"/>
      <c r="G49" s="20"/>
      <c r="H49" s="21"/>
      <c r="I49" s="3"/>
      <c r="J49" s="20" t="str">
        <f t="shared" si="0"/>
        <v/>
      </c>
      <c r="K49" s="20"/>
    </row>
    <row r="50" spans="1:11" x14ac:dyDescent="0.2">
      <c r="A50" s="30" t="s">
        <v>23</v>
      </c>
      <c r="B50" s="27"/>
      <c r="C50" s="18"/>
      <c r="D50" s="18"/>
      <c r="E50" s="18">
        <f>(-1)*E$47*0.5</f>
        <v>-346.5</v>
      </c>
      <c r="F50" s="8"/>
      <c r="G50" s="20"/>
      <c r="H50" s="21"/>
      <c r="I50" s="3"/>
      <c r="J50" s="20" t="str">
        <f t="shared" si="0"/>
        <v/>
      </c>
      <c r="K50" s="20"/>
    </row>
    <row r="51" spans="1:11" x14ac:dyDescent="0.2">
      <c r="A51" s="30" t="s">
        <v>24</v>
      </c>
      <c r="B51" s="27"/>
      <c r="C51" s="18"/>
      <c r="D51" s="18"/>
      <c r="E51" s="18">
        <v>400</v>
      </c>
      <c r="F51" s="8"/>
      <c r="G51" s="20"/>
      <c r="H51" s="21"/>
      <c r="I51" s="3"/>
      <c r="J51" s="20" t="str">
        <f t="shared" si="0"/>
        <v/>
      </c>
      <c r="K51" s="20"/>
    </row>
    <row r="52" spans="1:11" x14ac:dyDescent="0.2">
      <c r="A52" s="30" t="s">
        <v>21</v>
      </c>
      <c r="B52" s="27"/>
      <c r="C52" s="18"/>
      <c r="D52" s="18"/>
      <c r="E52" s="18">
        <f>(-1)*E$51*0.2</f>
        <v>-80</v>
      </c>
      <c r="F52" s="8"/>
      <c r="G52" s="20"/>
      <c r="H52" s="21"/>
      <c r="I52" s="3"/>
      <c r="J52" s="20" t="str">
        <f t="shared" si="0"/>
        <v/>
      </c>
      <c r="K52" s="20"/>
    </row>
    <row r="53" spans="1:11" x14ac:dyDescent="0.2">
      <c r="A53" s="30" t="s">
        <v>22</v>
      </c>
      <c r="B53" s="27"/>
      <c r="C53" s="18"/>
      <c r="D53" s="18"/>
      <c r="E53" s="18">
        <f>(-1)*E$51*0.2</f>
        <v>-80</v>
      </c>
      <c r="F53" s="8"/>
      <c r="G53" s="20"/>
      <c r="H53" s="21"/>
      <c r="I53" s="3"/>
      <c r="J53" s="20" t="str">
        <f t="shared" si="0"/>
        <v/>
      </c>
      <c r="K53" s="20"/>
    </row>
    <row r="54" spans="1:11" x14ac:dyDescent="0.2">
      <c r="A54" s="30" t="s">
        <v>23</v>
      </c>
      <c r="B54" s="27"/>
      <c r="C54" s="18"/>
      <c r="D54" s="18"/>
      <c r="E54" s="18">
        <f>(-1)*E$51*0.2</f>
        <v>-80</v>
      </c>
      <c r="F54" s="8"/>
      <c r="G54" s="20"/>
      <c r="H54" s="21"/>
      <c r="I54" s="3"/>
      <c r="J54" s="20" t="str">
        <f t="shared" si="0"/>
        <v/>
      </c>
      <c r="K54" s="20"/>
    </row>
    <row r="55" spans="1:11" x14ac:dyDescent="0.2">
      <c r="A55" s="30" t="s">
        <v>25</v>
      </c>
      <c r="B55" s="27"/>
      <c r="C55" s="18"/>
      <c r="D55" s="18"/>
      <c r="E55" s="18">
        <v>107</v>
      </c>
      <c r="F55" s="8"/>
      <c r="G55" s="20"/>
      <c r="H55" s="21"/>
      <c r="I55" s="3"/>
      <c r="J55" s="20" t="str">
        <f t="shared" si="0"/>
        <v/>
      </c>
      <c r="K55" s="20"/>
    </row>
    <row r="56" spans="1:11" x14ac:dyDescent="0.2">
      <c r="A56" s="30" t="s">
        <v>21</v>
      </c>
      <c r="B56" s="27"/>
      <c r="C56" s="18"/>
      <c r="D56" s="18"/>
      <c r="E56" s="18">
        <f>(-1)*E$55*0.2</f>
        <v>-21.400000000000002</v>
      </c>
      <c r="F56" s="8"/>
      <c r="G56" s="20"/>
      <c r="H56" s="21"/>
      <c r="I56" s="3"/>
      <c r="J56" s="20" t="str">
        <f t="shared" si="0"/>
        <v/>
      </c>
      <c r="K56" s="20"/>
    </row>
    <row r="57" spans="1:11" x14ac:dyDescent="0.2">
      <c r="A57" s="30" t="s">
        <v>22</v>
      </c>
      <c r="B57" s="27"/>
      <c r="C57" s="18"/>
      <c r="D57" s="18"/>
      <c r="E57" s="18">
        <f>(-1)*E$55*0.2</f>
        <v>-21.400000000000002</v>
      </c>
      <c r="F57" s="8"/>
      <c r="G57" s="20"/>
      <c r="H57" s="21"/>
      <c r="I57" s="3"/>
      <c r="J57" s="20" t="str">
        <f t="shared" si="0"/>
        <v/>
      </c>
      <c r="K57" s="20"/>
    </row>
    <row r="58" spans="1:11" x14ac:dyDescent="0.2">
      <c r="A58" s="30" t="s">
        <v>23</v>
      </c>
      <c r="B58" s="27"/>
      <c r="C58" s="18"/>
      <c r="D58" s="18"/>
      <c r="E58" s="18">
        <f>(-1)*E$55*0.2</f>
        <v>-21.400000000000002</v>
      </c>
      <c r="F58" s="8"/>
      <c r="G58" s="20"/>
      <c r="H58" s="21"/>
      <c r="I58" s="3"/>
      <c r="J58" s="20" t="str">
        <f t="shared" si="0"/>
        <v/>
      </c>
      <c r="K58" s="20"/>
    </row>
    <row r="59" spans="1:11" x14ac:dyDescent="0.2">
      <c r="A59" s="30" t="s">
        <v>26</v>
      </c>
      <c r="B59" s="27"/>
      <c r="C59" s="18"/>
      <c r="D59" s="18"/>
      <c r="E59" s="18">
        <v>200</v>
      </c>
      <c r="F59" s="8"/>
      <c r="G59" s="20"/>
      <c r="H59" s="21"/>
      <c r="I59" s="3"/>
      <c r="J59" s="20" t="str">
        <f t="shared" si="0"/>
        <v/>
      </c>
      <c r="K59" s="20"/>
    </row>
    <row r="60" spans="1:11" x14ac:dyDescent="0.2">
      <c r="A60" s="30" t="s">
        <v>27</v>
      </c>
      <c r="B60" s="27"/>
      <c r="C60" s="18"/>
      <c r="D60" s="18"/>
      <c r="E60" s="18">
        <v>0</v>
      </c>
      <c r="F60" s="8"/>
      <c r="G60" s="20"/>
      <c r="H60" s="21"/>
      <c r="I60" s="3"/>
      <c r="J60" s="20" t="str">
        <f t="shared" si="0"/>
        <v/>
      </c>
      <c r="K60" s="20"/>
    </row>
    <row r="61" spans="1:11" x14ac:dyDescent="0.2">
      <c r="A61" s="30" t="s">
        <v>28</v>
      </c>
      <c r="B61" s="27"/>
      <c r="C61" s="18"/>
      <c r="D61" s="18"/>
      <c r="E61" s="18">
        <v>400</v>
      </c>
      <c r="F61" s="8"/>
      <c r="G61" s="20"/>
      <c r="H61" s="21"/>
      <c r="I61" s="3"/>
      <c r="J61" s="20" t="str">
        <f t="shared" si="0"/>
        <v/>
      </c>
      <c r="K61" s="20"/>
    </row>
    <row r="62" spans="1:11" x14ac:dyDescent="0.2">
      <c r="A62" s="30" t="s">
        <v>27</v>
      </c>
      <c r="B62" s="27"/>
      <c r="C62" s="18"/>
      <c r="D62" s="18"/>
      <c r="E62" s="18">
        <v>0</v>
      </c>
      <c r="F62" s="8"/>
      <c r="G62" s="20"/>
      <c r="H62" s="21"/>
      <c r="I62" s="3"/>
      <c r="J62" s="20" t="str">
        <f t="shared" si="0"/>
        <v/>
      </c>
      <c r="K62" s="20"/>
    </row>
    <row r="63" spans="1:11" x14ac:dyDescent="0.2">
      <c r="A63" s="30" t="s">
        <v>29</v>
      </c>
      <c r="B63" s="27"/>
      <c r="C63" s="18"/>
      <c r="D63" s="18"/>
      <c r="E63" s="18">
        <v>435</v>
      </c>
      <c r="F63" s="8"/>
      <c r="G63" s="20"/>
      <c r="H63" s="21"/>
      <c r="I63" s="3"/>
      <c r="J63" s="20" t="str">
        <f>IF(H63&lt;&gt;0,E63*H63,"")</f>
        <v/>
      </c>
      <c r="K63" s="20"/>
    </row>
    <row r="64" spans="1:11" x14ac:dyDescent="0.2">
      <c r="A64" s="30" t="s">
        <v>30</v>
      </c>
      <c r="B64" s="27"/>
      <c r="C64" s="18"/>
      <c r="D64" s="18"/>
      <c r="E64" s="18">
        <v>3.5</v>
      </c>
      <c r="F64" s="8"/>
      <c r="G64" s="20"/>
      <c r="H64" s="21"/>
      <c r="I64" s="3"/>
      <c r="J64" s="20" t="str">
        <f>IF(H64&lt;&gt;0,E64*H64,"")</f>
        <v/>
      </c>
      <c r="K64" s="20"/>
    </row>
    <row r="65" spans="1:11" x14ac:dyDescent="0.2">
      <c r="A65" s="3" t="s">
        <v>31</v>
      </c>
      <c r="B65" s="3"/>
      <c r="C65" s="3"/>
      <c r="D65" s="3"/>
      <c r="E65" s="22">
        <v>1</v>
      </c>
      <c r="F65" s="32"/>
      <c r="G65" s="32"/>
      <c r="H65" s="3"/>
      <c r="I65" s="15"/>
      <c r="J65" s="22" t="str">
        <f>IF(H65&lt;&gt;0,E65*H65,"")</f>
        <v/>
      </c>
      <c r="K65" s="22"/>
    </row>
    <row r="66" spans="1:11" x14ac:dyDescent="0.2">
      <c r="A66" s="3" t="s">
        <v>32</v>
      </c>
      <c r="B66" s="3"/>
      <c r="C66" s="3"/>
      <c r="D66" s="3"/>
      <c r="E66" s="22">
        <v>1</v>
      </c>
      <c r="F66" s="32"/>
      <c r="G66" s="32"/>
      <c r="H66" s="3"/>
      <c r="I66" s="15"/>
      <c r="J66" s="22" t="str">
        <f>IF(H66&lt;&gt;0,E66*H66,"")</f>
        <v/>
      </c>
      <c r="K66" s="22"/>
    </row>
    <row r="67" spans="1:11" x14ac:dyDescent="0.2">
      <c r="A67" s="3" t="s">
        <v>33</v>
      </c>
      <c r="B67" s="3"/>
      <c r="C67" s="3"/>
      <c r="D67" s="3"/>
      <c r="E67" s="22">
        <v>1</v>
      </c>
      <c r="F67" s="33"/>
      <c r="G67" s="33"/>
      <c r="H67" s="3"/>
      <c r="I67" s="15"/>
      <c r="J67" s="22" t="str">
        <f>IF(H67&lt;&gt;0,E67*H67,"")</f>
        <v/>
      </c>
      <c r="K67" s="22"/>
    </row>
    <row r="68" spans="1:11" ht="15" thickBot="1" x14ac:dyDescent="0.25">
      <c r="A68" s="6" t="s">
        <v>1</v>
      </c>
      <c r="B68" s="6"/>
      <c r="C68" s="6"/>
      <c r="D68" s="6"/>
      <c r="E68" s="9"/>
      <c r="F68" s="13"/>
      <c r="G68" s="14"/>
      <c r="H68" s="6"/>
      <c r="I68" s="23">
        <f>SUMPRODUCT($E$47:$E$67,I47:I67)</f>
        <v>0</v>
      </c>
      <c r="J68" s="23">
        <f>SUM(J47:J67)</f>
        <v>0</v>
      </c>
      <c r="K68" s="23"/>
    </row>
    <row r="69" spans="1:11" ht="15" thickTop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">
      <c r="A70" s="5"/>
      <c r="B70" s="5"/>
      <c r="C70" s="5"/>
      <c r="D70" s="5"/>
      <c r="E70" s="5"/>
      <c r="F70" s="5"/>
      <c r="G70" s="5"/>
      <c r="H70" s="5" t="s">
        <v>39</v>
      </c>
      <c r="I70" s="7" t="s">
        <v>17</v>
      </c>
      <c r="J70" s="7" t="s">
        <v>40</v>
      </c>
      <c r="K70" s="7"/>
    </row>
    <row r="71" spans="1:11" x14ac:dyDescent="0.2">
      <c r="A71" s="2" t="s">
        <v>41</v>
      </c>
      <c r="B71" s="2"/>
      <c r="C71" s="2"/>
      <c r="D71" s="2"/>
      <c r="E71" s="2"/>
      <c r="F71" s="2"/>
      <c r="G71" s="26"/>
      <c r="H71" s="17">
        <v>0</v>
      </c>
      <c r="I71" s="24">
        <f>SUMIF($I$15:$I$43,$A71,$J$15:$J$43)*(1+H71)</f>
        <v>0</v>
      </c>
      <c r="J71" s="24">
        <f>SUMIF($I$15:$I$45,A71,$G$15:$G$45)</f>
        <v>0</v>
      </c>
      <c r="K71" s="24"/>
    </row>
    <row r="72" spans="1:11" x14ac:dyDescent="0.2">
      <c r="A72" s="2" t="s">
        <v>0</v>
      </c>
      <c r="B72" s="2"/>
      <c r="C72" s="2"/>
      <c r="D72" s="2"/>
      <c r="E72" s="2"/>
      <c r="F72" s="2"/>
      <c r="G72" s="26"/>
      <c r="H72" s="17">
        <v>0</v>
      </c>
      <c r="I72" s="24">
        <f>SUMIF($I$15:$I$43,$A72,$J$15:$J$43)*(1+H72)</f>
        <v>0</v>
      </c>
      <c r="J72" s="24">
        <f>SUMIF($I$15:$I$45,A72,$G$15:$G$45)</f>
        <v>0</v>
      </c>
      <c r="K72" s="24"/>
    </row>
    <row r="73" spans="1:11" x14ac:dyDescent="0.2">
      <c r="A73" s="2" t="s">
        <v>42</v>
      </c>
      <c r="B73" s="2"/>
      <c r="C73" s="2"/>
      <c r="D73" s="2"/>
      <c r="E73" s="2"/>
      <c r="F73" s="2"/>
      <c r="G73" s="26"/>
      <c r="H73" s="17">
        <v>0</v>
      </c>
      <c r="I73" s="24">
        <f>SUMIF($I$15:$I$43,$A73,$J$15:$J$43)*(1+H73)</f>
        <v>0</v>
      </c>
      <c r="J73" s="24">
        <f>SUMIF($I$15:$I$45,A73,$G$15:$G$45)</f>
        <v>0</v>
      </c>
      <c r="K73" s="24"/>
    </row>
    <row r="74" spans="1:11" x14ac:dyDescent="0.2">
      <c r="A74" s="2" t="s">
        <v>43</v>
      </c>
      <c r="B74" s="2"/>
      <c r="C74" s="2"/>
      <c r="D74" s="2"/>
      <c r="E74" s="2"/>
      <c r="F74" s="2"/>
      <c r="G74" s="26"/>
      <c r="H74" s="17">
        <v>0</v>
      </c>
      <c r="I74" s="24">
        <f>SUMIF($I$15:$I$43,$A74,$J$15:$J$43)*(1+H74)</f>
        <v>0</v>
      </c>
      <c r="J74" s="24">
        <f>SUMIF($I$15:$I$45,A74,$G$15:$G$45)</f>
        <v>0</v>
      </c>
      <c r="K74" s="24"/>
    </row>
    <row r="75" spans="1:11" x14ac:dyDescent="0.2">
      <c r="A75" s="2" t="s">
        <v>44</v>
      </c>
      <c r="B75" s="2"/>
      <c r="C75" s="2"/>
      <c r="D75" s="2"/>
      <c r="E75" s="2"/>
      <c r="F75" s="2"/>
      <c r="G75" s="26"/>
      <c r="H75" s="17">
        <v>0</v>
      </c>
      <c r="I75" s="24">
        <f>SUMIF($I$15:$I$43,$A75,$J$15:$J$43)*(1+H75)</f>
        <v>0</v>
      </c>
      <c r="J75" s="24">
        <f>SUMIF($I$15:$I$45,A75,$G$15:$G$45)</f>
        <v>0</v>
      </c>
      <c r="K75" s="24"/>
    </row>
    <row r="76" spans="1:11" x14ac:dyDescent="0.2">
      <c r="A76" s="2" t="s">
        <v>45</v>
      </c>
      <c r="B76" s="2"/>
      <c r="C76" s="2"/>
      <c r="D76" s="2"/>
      <c r="E76" s="2"/>
      <c r="F76" s="2"/>
      <c r="G76" s="26"/>
      <c r="H76" s="17">
        <v>0</v>
      </c>
      <c r="I76" s="24">
        <f>SUMIF($I$15:$I$43,$A76,$J$15:$J$43)*(1+H76)</f>
        <v>0</v>
      </c>
      <c r="J76" s="24">
        <f>SUMIF($I$15:$I$45,A76,$G$15:$G$45)</f>
        <v>0</v>
      </c>
      <c r="K76" s="24"/>
    </row>
    <row r="77" spans="1:11" x14ac:dyDescent="0.2">
      <c r="A77" s="2" t="s">
        <v>46</v>
      </c>
      <c r="B77" s="2"/>
      <c r="C77" s="2"/>
      <c r="D77" s="2"/>
      <c r="E77" s="2"/>
      <c r="F77" s="2"/>
      <c r="G77" s="26"/>
      <c r="H77" s="17">
        <v>0</v>
      </c>
      <c r="I77" s="24">
        <f>SUMIF($I$15:$I$43,$A77,$J$15:$J$43)*(1+H77)</f>
        <v>0</v>
      </c>
      <c r="J77" s="24">
        <f>SUMIF($I$15:$I$45,A77,$G$15:$G$45)</f>
        <v>0</v>
      </c>
      <c r="K77" s="24"/>
    </row>
    <row r="78" spans="1:11" x14ac:dyDescent="0.2">
      <c r="A78" s="2" t="s">
        <v>47</v>
      </c>
      <c r="B78" s="2"/>
      <c r="C78" s="2"/>
      <c r="D78" s="2"/>
      <c r="E78" s="2"/>
      <c r="F78" s="2"/>
      <c r="G78" s="26"/>
      <c r="H78" s="17">
        <v>0</v>
      </c>
      <c r="I78" s="24">
        <f>SUM(I68)*(1+H78)</f>
        <v>0</v>
      </c>
      <c r="J78" s="24">
        <f>SUM(J68)</f>
        <v>0</v>
      </c>
      <c r="K78" s="24"/>
    </row>
    <row r="79" spans="1:11" ht="15" thickBot="1" x14ac:dyDescent="0.25">
      <c r="A79" s="16" t="s">
        <v>38</v>
      </c>
      <c r="B79" s="16"/>
      <c r="C79" s="16"/>
      <c r="D79" s="16"/>
      <c r="E79" s="16"/>
      <c r="F79" s="16"/>
      <c r="G79" s="16"/>
      <c r="H79" s="16"/>
      <c r="I79" s="25">
        <f>SUM(I71:I78)</f>
        <v>0</v>
      </c>
      <c r="J79" s="25">
        <f>SUM(J71:J78)</f>
        <v>0</v>
      </c>
      <c r="K79" s="25"/>
    </row>
    <row r="80" spans="1:11" ht="15" thickTop="1" x14ac:dyDescent="0.2"/>
    <row r="81" spans="1:11" ht="20" thickBot="1" x14ac:dyDescent="0.3">
      <c r="A81" s="36" t="s">
        <v>51</v>
      </c>
    </row>
    <row r="82" spans="1:11" ht="22" customHeight="1" x14ac:dyDescent="0.2">
      <c r="A82" s="40"/>
      <c r="B82" s="41"/>
      <c r="C82" s="42" t="s">
        <v>53</v>
      </c>
      <c r="D82" s="43"/>
      <c r="E82" s="42" t="s">
        <v>54</v>
      </c>
      <c r="F82" s="43"/>
      <c r="G82" s="44" t="s">
        <v>38</v>
      </c>
      <c r="H82"/>
      <c r="I82"/>
      <c r="J82"/>
      <c r="K82"/>
    </row>
    <row r="83" spans="1:11" ht="20" customHeight="1" thickBot="1" x14ac:dyDescent="0.25">
      <c r="A83" s="49" t="s">
        <v>16</v>
      </c>
      <c r="B83" s="50"/>
      <c r="C83" s="51" t="s">
        <v>49</v>
      </c>
      <c r="D83" s="51" t="s">
        <v>52</v>
      </c>
      <c r="E83" s="51" t="s">
        <v>49</v>
      </c>
      <c r="F83" s="51" t="s">
        <v>52</v>
      </c>
      <c r="G83" s="52"/>
      <c r="H83"/>
      <c r="I83"/>
      <c r="J83"/>
      <c r="K83"/>
    </row>
    <row r="84" spans="1:11" ht="16" x14ac:dyDescent="0.2">
      <c r="A84" s="45" t="s">
        <v>0</v>
      </c>
      <c r="B84" s="46"/>
      <c r="C84" s="47">
        <f>SUMIFS($G$15:$G$64,$I$15:$I$64,$A84,$K$15:$K$64,"NOK")-E84</f>
        <v>0</v>
      </c>
      <c r="D84" s="47">
        <f>SUMIFS($G$15:$G$64,$I$15:$I$64,$A84,$K$15:$K$64,"&lt;&gt;NOK")-F84</f>
        <v>0</v>
      </c>
      <c r="E84" s="47">
        <f>SUMIFS($G$15:$G$64,$I$15:$I$64,$A84,$K$15:$K$64,"NOK",$J$15:$J$64,"&gt;0")</f>
        <v>0</v>
      </c>
      <c r="F84" s="47">
        <f>SUMIFS($G$15:$G$64,$I$15:$I$64,$A84,$K$15:$K$64,"&lt;&gt;NOK",$J$15:$J$64,"&gt;0")</f>
        <v>0</v>
      </c>
      <c r="G84" s="48">
        <f>SUM(C84:F84)</f>
        <v>0</v>
      </c>
      <c r="H84"/>
      <c r="I84"/>
      <c r="J84"/>
      <c r="K84"/>
    </row>
    <row r="85" spans="1:11" ht="16" x14ac:dyDescent="0.2">
      <c r="A85" s="37" t="s">
        <v>41</v>
      </c>
      <c r="B85" s="38"/>
      <c r="C85" s="47">
        <f t="shared" ref="C85:C90" si="1">SUMIFS($G$15:$G$64,$I$15:$I$64,$A85,$K$15:$K$64,"NOK")-E85</f>
        <v>0</v>
      </c>
      <c r="D85" s="47">
        <f t="shared" ref="D85:D90" si="2">SUMIFS($G$15:$G$64,$I$15:$I$64,$A85,$K$15:$K$64,"&lt;&gt;NOK")-F85</f>
        <v>0</v>
      </c>
      <c r="E85" s="47">
        <f t="shared" ref="E85:E90" si="3">SUMIFS($G$15:$G$64,$I$15:$I$64,$A85,$K$15:$K$64,"NOK",$J$15:$J$64,"&gt;0")</f>
        <v>0</v>
      </c>
      <c r="F85" s="47">
        <f t="shared" ref="F85:F90" si="4">SUMIFS($G$15:$G$64,$I$15:$I$64,$A85,$K$15:$K$64,"&lt;&gt;NOK",$J$15:$J$64,"&gt;0")</f>
        <v>0</v>
      </c>
      <c r="G85" s="39">
        <f t="shared" ref="G85:G91" si="5">SUM(C85:F85)</f>
        <v>0</v>
      </c>
      <c r="H85"/>
      <c r="I85"/>
      <c r="J85"/>
      <c r="K85"/>
    </row>
    <row r="86" spans="1:11" ht="16" x14ac:dyDescent="0.2">
      <c r="A86" s="37" t="s">
        <v>42</v>
      </c>
      <c r="B86" s="38"/>
      <c r="C86" s="47">
        <f t="shared" si="1"/>
        <v>0</v>
      </c>
      <c r="D86" s="47">
        <f t="shared" si="2"/>
        <v>0</v>
      </c>
      <c r="E86" s="47">
        <f t="shared" si="3"/>
        <v>0</v>
      </c>
      <c r="F86" s="47">
        <f t="shared" si="4"/>
        <v>0</v>
      </c>
      <c r="G86" s="39">
        <f t="shared" si="5"/>
        <v>0</v>
      </c>
      <c r="H86"/>
      <c r="I86"/>
      <c r="J86"/>
      <c r="K86"/>
    </row>
    <row r="87" spans="1:11" ht="16" x14ac:dyDescent="0.2">
      <c r="A87" s="37" t="s">
        <v>43</v>
      </c>
      <c r="B87" s="38"/>
      <c r="C87" s="47">
        <f t="shared" si="1"/>
        <v>0</v>
      </c>
      <c r="D87" s="47">
        <f t="shared" si="2"/>
        <v>0</v>
      </c>
      <c r="E87" s="47">
        <f t="shared" si="3"/>
        <v>0</v>
      </c>
      <c r="F87" s="47">
        <f t="shared" si="4"/>
        <v>0</v>
      </c>
      <c r="G87" s="39">
        <f t="shared" si="5"/>
        <v>0</v>
      </c>
      <c r="H87"/>
      <c r="I87"/>
      <c r="J87"/>
      <c r="K87"/>
    </row>
    <row r="88" spans="1:11" ht="16" x14ac:dyDescent="0.2">
      <c r="A88" s="37" t="s">
        <v>44</v>
      </c>
      <c r="B88" s="38"/>
      <c r="C88" s="47">
        <f t="shared" si="1"/>
        <v>0</v>
      </c>
      <c r="D88" s="47">
        <f t="shared" si="2"/>
        <v>0</v>
      </c>
      <c r="E88" s="47">
        <f t="shared" si="3"/>
        <v>0</v>
      </c>
      <c r="F88" s="47">
        <f t="shared" si="4"/>
        <v>0</v>
      </c>
      <c r="G88" s="39">
        <f t="shared" si="5"/>
        <v>0</v>
      </c>
      <c r="H88"/>
      <c r="I88"/>
      <c r="J88"/>
      <c r="K88"/>
    </row>
    <row r="89" spans="1:11" ht="16" x14ac:dyDescent="0.2">
      <c r="A89" s="37" t="s">
        <v>45</v>
      </c>
      <c r="B89" s="38"/>
      <c r="C89" s="47">
        <f t="shared" si="1"/>
        <v>0</v>
      </c>
      <c r="D89" s="47">
        <f t="shared" si="2"/>
        <v>0</v>
      </c>
      <c r="E89" s="47">
        <f t="shared" si="3"/>
        <v>0</v>
      </c>
      <c r="F89" s="47">
        <f t="shared" si="4"/>
        <v>0</v>
      </c>
      <c r="G89" s="39">
        <f t="shared" si="5"/>
        <v>0</v>
      </c>
      <c r="H89"/>
      <c r="I89"/>
      <c r="J89"/>
      <c r="K89"/>
    </row>
    <row r="90" spans="1:11" ht="17" thickBot="1" x14ac:dyDescent="0.25">
      <c r="A90" s="53" t="s">
        <v>46</v>
      </c>
      <c r="B90" s="54"/>
      <c r="C90" s="47">
        <f t="shared" si="1"/>
        <v>0</v>
      </c>
      <c r="D90" s="47">
        <f t="shared" si="2"/>
        <v>0</v>
      </c>
      <c r="E90" s="47">
        <f t="shared" si="3"/>
        <v>0</v>
      </c>
      <c r="F90" s="47">
        <f t="shared" si="4"/>
        <v>0</v>
      </c>
      <c r="G90" s="55">
        <f t="shared" si="5"/>
        <v>0</v>
      </c>
      <c r="H90"/>
      <c r="I90"/>
      <c r="J90"/>
      <c r="K90"/>
    </row>
    <row r="91" spans="1:11" ht="17" thickBot="1" x14ac:dyDescent="0.25">
      <c r="A91" s="59" t="s">
        <v>38</v>
      </c>
      <c r="B91" s="58"/>
      <c r="C91" s="56">
        <f>SUM(C84:C90)</f>
        <v>0</v>
      </c>
      <c r="D91" s="56">
        <f>SUM(D84:D90)</f>
        <v>0</v>
      </c>
      <c r="E91" s="56">
        <f>SUM(E84:E90)</f>
        <v>0</v>
      </c>
      <c r="F91" s="56">
        <f>SUM(F84:F90)</f>
        <v>0</v>
      </c>
      <c r="G91" s="57">
        <f>SUM(G84:G90)</f>
        <v>0</v>
      </c>
      <c r="H91"/>
      <c r="I91"/>
      <c r="J91"/>
      <c r="K91"/>
    </row>
    <row r="92" spans="1:11" ht="16" x14ac:dyDescent="0.2">
      <c r="A92"/>
      <c r="B92"/>
      <c r="C92"/>
      <c r="D92"/>
      <c r="E92"/>
      <c r="F92"/>
      <c r="G92"/>
      <c r="H92"/>
      <c r="I92"/>
      <c r="J92"/>
      <c r="K92"/>
    </row>
  </sheetData>
  <mergeCells count="8">
    <mergeCell ref="A1:J1"/>
    <mergeCell ref="C82:D82"/>
    <mergeCell ref="E82:F82"/>
    <mergeCell ref="G82:G83"/>
    <mergeCell ref="A83:B83"/>
    <mergeCell ref="F65:G65"/>
    <mergeCell ref="F66:G66"/>
    <mergeCell ref="F67:G67"/>
  </mergeCells>
  <conditionalFormatting sqref="G45:H45">
    <cfRule type="expression" dxfId="0" priority="1">
      <formula>TODAY()&gt;$H$45</formula>
    </cfRule>
  </conditionalFormatting>
  <dataValidations count="1">
    <dataValidation type="list" allowBlank="1" showInputMessage="1" showErrorMessage="1" sqref="I15:I42" xr:uid="{2A5DC97D-2029-674F-A8F4-310FC39F0D1D}">
      <formula1>Kategorier</formula1>
    </dataValidation>
  </dataValidations>
  <pageMargins left="0.7" right="0.7" top="0.75" bottom="0.75" header="0.3" footer="0.3"/>
  <pageSetup paperSize="9" scale="47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6D66-FF7C-1948-85FA-8573D38748D3}">
  <dimension ref="A1:A7"/>
  <sheetViews>
    <sheetView workbookViewId="0">
      <selection sqref="A1:A7"/>
    </sheetView>
  </sheetViews>
  <sheetFormatPr baseColWidth="10" defaultRowHeight="16" x14ac:dyDescent="0.2"/>
  <cols>
    <col min="1" max="1" width="13.1640625" bestFit="1" customWidth="1"/>
  </cols>
  <sheetData>
    <row r="1" spans="1:1" x14ac:dyDescent="0.2">
      <c r="A1" t="s">
        <v>41</v>
      </c>
    </row>
    <row r="2" spans="1:1" x14ac:dyDescent="0.2">
      <c r="A2" t="s">
        <v>0</v>
      </c>
    </row>
    <row r="3" spans="1:1" x14ac:dyDescent="0.2">
      <c r="A3" t="s">
        <v>42</v>
      </c>
    </row>
    <row r="4" spans="1:1" x14ac:dyDescent="0.2">
      <c r="A4" t="s">
        <v>43</v>
      </c>
    </row>
    <row r="5" spans="1:1" x14ac:dyDescent="0.2">
      <c r="A5" t="s">
        <v>44</v>
      </c>
    </row>
    <row r="6" spans="1:1" x14ac:dyDescent="0.2">
      <c r="A6" t="s">
        <v>45</v>
      </c>
    </row>
    <row r="7" spans="1:1" x14ac:dyDescent="0.2">
      <c r="A7" t="s">
        <v>46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Kategorier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Christian Braathen</cp:lastModifiedBy>
  <cp:lastPrinted>2026-06-16T08:50:25Z</cp:lastPrinted>
  <dcterms:created xsi:type="dcterms:W3CDTF">2022-02-04T17:12:45Z</dcterms:created>
  <dcterms:modified xsi:type="dcterms:W3CDTF">2026-06-16T13:21:22Z</dcterms:modified>
</cp:coreProperties>
</file>